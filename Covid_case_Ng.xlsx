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IFDC\Desktop\Ageh\10Alytics\Internship\"/>
    </mc:Choice>
  </mc:AlternateContent>
  <xr:revisionPtr revIDLastSave="0" documentId="8_{9577D379-1569-43C9-9976-EC80AD16FB07}" xr6:coauthVersionLast="47" xr6:coauthVersionMax="47" xr10:uidLastSave="{00000000-0000-0000-0000-000000000000}"/>
  <bookViews>
    <workbookView xWindow="-120" yWindow="-120" windowWidth="29040" windowHeight="16440" activeTab="3" xr2:uid="{2A803896-8C15-4FCC-8827-C33D44F4A545}"/>
  </bookViews>
  <sheets>
    <sheet name="CovidCase" sheetId="1" r:id="rId1"/>
    <sheet name="Case1" sheetId="2" r:id="rId2"/>
    <sheet name="Case2" sheetId="3" r:id="rId3"/>
    <sheet name="Case3" sheetId="4" r:id="rId4"/>
  </sheets>
  <definedNames>
    <definedName name="_xlchart.v5.0" hidden="1">Case2!$E$6</definedName>
    <definedName name="_xlchart.v5.1" hidden="1">Case2!$E$7:$E$43</definedName>
    <definedName name="_xlchart.v5.10" hidden="1">Case2!$E$7:$E$43</definedName>
    <definedName name="_xlchart.v5.11" hidden="1">Case2!$F$6</definedName>
    <definedName name="_xlchart.v5.12" hidden="1">Case2!$F$7:$F$43</definedName>
    <definedName name="_xlchart.v5.13" hidden="1">Case2!$E$6</definedName>
    <definedName name="_xlchart.v5.14" hidden="1">Case2!$E$7:$E$43</definedName>
    <definedName name="_xlchart.v5.15" hidden="1">Case2!$F$6</definedName>
    <definedName name="_xlchart.v5.16" hidden="1">Case2!$F$7:$F$43</definedName>
    <definedName name="_xlchart.v5.2" hidden="1">Case2!$F$5</definedName>
    <definedName name="_xlchart.v5.3" hidden="1">Case2!$F$6</definedName>
    <definedName name="_xlchart.v5.4" hidden="1">Case2!$F$7:$F$43</definedName>
    <definedName name="_xlchart.v5.5" hidden="1">Case2!$E$6</definedName>
    <definedName name="_xlchart.v5.6" hidden="1">Case2!$E$7:$E$43</definedName>
    <definedName name="_xlchart.v5.7" hidden="1">Case2!$F$6</definedName>
    <definedName name="_xlchart.v5.8" hidden="1">Case2!$F$7:$F$43</definedName>
    <definedName name="_xlchart.v5.9" hidden="1">Case2!$E$6</definedName>
    <definedName name="ExternalData_1" localSheetId="0" hidden="1">CovidCase!$A$1:$E$38</definedName>
    <definedName name="Slicer_State">#N/A</definedName>
  </definedNames>
  <calcPr calcId="191029" calcOnSave="0"/>
  <pivotCaches>
    <pivotCache cacheId="10"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471999-FE11-421F-844B-972D11B9867F}" keepAlive="1" name="Query - Table 0" description="Connection to the 'Table 0' query in the workbook." type="5" refreshedVersion="7" background="1" saveData="1">
    <dbPr connection="Provider=Microsoft.Mashup.OleDb.1;Data Source=$Workbook$;Location=&quot;Table 0&quot;;Extended Properties=&quot;&quot;" command="SELECT * FROM [Table 0]"/>
  </connection>
</connections>
</file>

<file path=xl/sharedStrings.xml><?xml version="1.0" encoding="utf-8"?>
<sst xmlns="http://schemas.openxmlformats.org/spreadsheetml/2006/main" count="127" uniqueCount="51">
  <si>
    <t>States Affected</t>
  </si>
  <si>
    <t>No. of Cases (Lab Confirmed)</t>
  </si>
  <si>
    <t>No. of Cases (on admission)</t>
  </si>
  <si>
    <t>No. Discharged</t>
  </si>
  <si>
    <t>No. of Deaths</t>
  </si>
  <si>
    <t>Lagos</t>
  </si>
  <si>
    <t>FCT</t>
  </si>
  <si>
    <t>Rivers</t>
  </si>
  <si>
    <t>Kaduna</t>
  </si>
  <si>
    <t>Plateau</t>
  </si>
  <si>
    <t>Oyo</t>
  </si>
  <si>
    <t>Edo</t>
  </si>
  <si>
    <t>Ogun</t>
  </si>
  <si>
    <t>Delta</t>
  </si>
  <si>
    <t>Ondo</t>
  </si>
  <si>
    <t>Kano</t>
  </si>
  <si>
    <t>Akwa Ibom</t>
  </si>
  <si>
    <t>Kwara</t>
  </si>
  <si>
    <t>Gombe</t>
  </si>
  <si>
    <t>Osun</t>
  </si>
  <si>
    <t>Enugu</t>
  </si>
  <si>
    <t>Anambra</t>
  </si>
  <si>
    <t>Nasarawa</t>
  </si>
  <si>
    <t>Imo</t>
  </si>
  <si>
    <t>Katsina</t>
  </si>
  <si>
    <t>Abia</t>
  </si>
  <si>
    <t>Benue</t>
  </si>
  <si>
    <t>Ebonyi</t>
  </si>
  <si>
    <t>Ekiti</t>
  </si>
  <si>
    <t>Bauchi</t>
  </si>
  <si>
    <t>Borno</t>
  </si>
  <si>
    <t>Taraba</t>
  </si>
  <si>
    <t>Bayelsa</t>
  </si>
  <si>
    <t>Adamawa</t>
  </si>
  <si>
    <t>Niger</t>
  </si>
  <si>
    <t>Sokoto</t>
  </si>
  <si>
    <t>Cross River</t>
  </si>
  <si>
    <t>Jigawa</t>
  </si>
  <si>
    <t>Yobe</t>
  </si>
  <si>
    <t>Kebbi</t>
  </si>
  <si>
    <t>Zamfara</t>
  </si>
  <si>
    <t>Kogi</t>
  </si>
  <si>
    <t>Sum of No. of Cases (Confirmed)</t>
  </si>
  <si>
    <t>Column1</t>
  </si>
  <si>
    <t>KPIs</t>
  </si>
  <si>
    <t>Sum of No. Discharged</t>
  </si>
  <si>
    <t>Sum of No. of Deaths</t>
  </si>
  <si>
    <t xml:space="preserve">Sum of No. of Active Cases </t>
  </si>
  <si>
    <t>Grand Total</t>
  </si>
  <si>
    <t>State</t>
  </si>
  <si>
    <t>ConfirmedCases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</si>
</sst>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0" fillId="0" borderId="0" xfId="0" applyNumberFormat="1"/>
    <xf numFmtId="0" fontId="0" fillId="2" borderId="1" xfId="0" applyFont="1" applyFill="1" applyBorder="1"/>
    <xf numFmtId="0" fontId="0" fillId="0" borderId="1" xfId="0" applyFont="1" applyBorder="1"/>
    <xf numFmtId="0" fontId="0" fillId="0" borderId="0" xfId="0" pivotButton="1"/>
    <xf numFmtId="0" fontId="1" fillId="0" borderId="0" xfId="0" applyFont="1"/>
    <xf numFmtId="0" fontId="0" fillId="0" borderId="0" xfId="0" applyAlignment="1">
      <alignment horizontal="left"/>
    </xf>
  </cellXfs>
  <cellStyles count="1">
    <cellStyle name="Normal" xfId="0" builtinId="0"/>
  </cellStyles>
  <dxfs count="4">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alignment horizontal="left" vertical="bottom"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tx>
        <cx:txData>
          <cx:v>Confirmed Cases By States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Confirmed Cases By States</a:t>
          </a:r>
        </a:p>
      </cx:txPr>
    </cx:title>
    <cx:plotArea>
      <cx:plotAreaRegion>
        <cx:series layoutId="regionMap" uniqueId="{FFD9F3D0-8EE6-4F44-8A1B-ED232C99B1AB}">
          <cx:tx>
            <cx:txData>
              <cx:f>_xlchart.v5.11</cx:f>
              <cx:v>ConfirmedCases</cx:v>
            </cx:txData>
          </cx:tx>
          <cx:dataLabels>
            <cx:visibility seriesName="0" categoryName="1" value="1"/>
            <cx:separator>
</cx:separator>
          </cx:dataLabels>
          <cx:dataId val="0"/>
          <cx:layoutPr>
            <cx:geography cultureLanguage="en-US" cultureRegion="NG" attribution="Powered by Bing">
              <cx:geoCache provider="{E9337A44-BEBE-4D9F-B70C-5C5E7DAFC167}">
                <cx:binary>7FfZbuQ2Fv0Vo55HNilRXIK4HyjV4vLWdjvtJC9CTblapESKkkgt1NePyt1x3E7iCRDM2wAFFMS7
6C48V+f+uB9/2KvDrj0ZtarsD/vxfCGcq384O7N7cdA7e6rlvjXWfHGne6PPzJcvcn84e2p3g6zy
sxBAdLYXu9YdxsWHH2dv+cFcmf3OSVPddYfW3x9sp5x9R/anopPdk5ZVKq1r5d7B8wXf+YOyu8XJ
oXLS+QdfH84X3yktTs7euvrDa0/UHJnrnmZbdEpiykgEQ4hRBDBGixNlqvybGJ9CGM+HAMQhYTGC
v735Zqdn678RznMwu6en9mDtnM7z/yvD72J/db43XeWOdcvnEp4vbmR+aOWct7Qm+SpKzDH+m/Vz
wmff1/zDj28O5hK8OXnVlrf1+m+ik78K7rtk/t+t/1W3/rqTLzc93bnd8hkir5r5vvS3W/DG9D2k
fQXhxdP5AmKIwxAh+gp+R0ffrP8ULW/sDjvrzhf4lIQQQkYpwASHmMWLk+FwlMSnEcEIAgAIIngW
48VJZVonjiIEcYQZgzEANEaILU6s6Y4idDr7wGS2YhhGICLwZUB9NMrnpnqpyrfnk6rTH42snD1f
zD4XJ/VXvWO4JAIhnsdFOIcWh4ywkMzy/e5+noKzOvwXIGKEost4SCW6GpBtxk2bU/tgFM4Mt7TJ
IB9RRlHCpqa+lW3dXcQSFhtgp3ItGbVb0UxQbzIj+0dB1SfkXPyoUbezHbxrDRabdpDxDg+ApUpY
lPRi3DcDMikJsoZTD8Gm7k11O1D0s877YiNBUa1GQ+mjyLxYKWW7pCh6kzANyhvpavRgzCQ2GcXd
yhF6Q3IJeF4BwEmLxVXWUJZOtL5sZG44rdg9a8pPDOmKh3m+QoQVvCfxZ6rYVRCDJ+vbO4KH3TiC
C0HHK+j7Tx2KPkFofqr74i7AeO9tn8YxuQ1Hc58hDFflBHaADJdO5n3F+6YbfslrIRtuvNcXrK1t
zyeaYZoOCtCKIzJdxCNlPA87xvtc37GyU1y2jCYT0g+eBi6NaRcvLbF+25foGkf9VRvAbVs0ZulV
ZJLClzmXcXdZjlHGSwZ+KWz0SOvG804Gt7r2jk8ivPNd/BTRHCUdIXOuOLp35fS5DqvLDPXNZ+qR
3aoOPGYhHblnccmHPGqSiWWAext+LglmfLACLufWjXeUZmPaztlsOgvLJewisXJI/5QH40NT1Q8q
hpa3YT9w1GHBy7gcb3UVNTjxjQ/KG9p5kQAlM96zJr+JkCqSHvV6JQHpuJZDxTUMXdIi9KWphqtp
AHZDAL7rTEm5M6ZJq6wDaScLyvMh6m4GZukSZVGQBLCXHIhWLYuyJmnmbL0OehOnDWl+9b4d02oO
L8mG/Ffcu2ybhYXhggX1ssLxL3llAVflkK0bm6uUsi68HiJcJE1uQApAT1bFGI1pMDnGXV5VPBDZ
Y4Ojf+vWfw5ddtN4ucGjQolu0SxWUzR8HIrMroTRakq7QBYoNUGYJbgJKI/L1q40hFVqbC+2Dlu6
ZsYS7nA33IXMlauw7/A2osQojj0LVsPYg5lSIHsbtqJJvHfDNo+KX6UgIBVYo6QqlbgeQ/8Ut8Qt
M9NHnPXxXAfVNusmCtBNE/lP2Zx6olg1rdUQt9cZlLsA0j5pm676GePsSzWU4iKqo3GF+tYlg3P9
CopJXQlQBNu8RgXXOsoSjYHveO7Fkw5Qn3SdJxetHRqufD/u+rJ5oPMN4ZaF7UrGw5AOjs1TREN0
Ew0QXliGxocJ2jGlEF+HDYkfWTDq7VhilOSjGD+KaMrXLlDBJRRWctvOE4Aa61bVoHY4LvbUlxew
Lz+Lpm1T0opsFUUGLHU9RUkl9bWZc+EBoYT3dWYTpcKPWBUyyWN/HWSmvi5YWXA4RmrGXCxTW8E4
nSJ/OdIhT1hHipUrlV7WoKeJyIaR12L4ErStX5IM16kZ4jy1xrRX2pDw1vYFWJoKZaue1i5VYEaU
mXrCtfUFx7qQaQ9quRXTPADqoWJLjYpxWc44/KTiplt6UJoHM5jgSgkI13YG4Y0uMOHZOBXcyVZt
6SRVIqdKzH2a3CaeXMWLRjQr74Fe5mMzYwwGtOO+YzgNZ8CMy4xViKQz7pXi/ZTpZKirXSD1rc2j
wzxmQBKJ7AFX41aB6d+9LCJuRaglnyp7EQ3i3hXiDtWhTltIwE6HuRO8mQGot3E8mVWjoeRZM9Rr
1hTu0tTIz0AglW0ve4+LTd/jIk8wBHbNtGk5yU15VY2s38Cs3ZoxKDmGVc4plPcSCMILEQ5Rouy0
rCyWZarHMF+zPFI8b3QMUtQHLNFHRPa1rIOkbrui2AiW442bbJHOk2PuTZRMlUzmL16d+DjEfCAK
uSRDkH4EeWm5aVmWOM/E5jUZ/e77uje1b2Uuvu0AL48fHoyef8/s9PfD4wrx+9P6YI4Ewr5VOvKg
F63fGe6Rd7zQ3Tds5use8r70hRAcbZ+ZwIN5n0v9ldJrSvVHnX/GrJ79PZO79/z8k0Vn3qO+Mc33
CvG3lL4153nH/PAfAAAA//8=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321706</xdr:colOff>
      <xdr:row>0</xdr:row>
      <xdr:rowOff>18925</xdr:rowOff>
    </xdr:from>
    <xdr:to>
      <xdr:col>10</xdr:col>
      <xdr:colOff>353245</xdr:colOff>
      <xdr:row>22</xdr:row>
      <xdr:rowOff>120358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8126E6E-E078-418F-BCFD-60A6B70C45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33577" y="18925"/>
              <a:ext cx="5538377" cy="42646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10</xdr:col>
      <xdr:colOff>353243</xdr:colOff>
      <xdr:row>0</xdr:row>
      <xdr:rowOff>25232</xdr:rowOff>
    </xdr:from>
    <xdr:to>
      <xdr:col>18</xdr:col>
      <xdr:colOff>315398</xdr:colOff>
      <xdr:row>11</xdr:row>
      <xdr:rowOff>145082</xdr:rowOff>
    </xdr:to>
    <mc:AlternateContent xmlns:mc="http://schemas.openxmlformats.org/markup-compatibility/2006">
      <mc:Choice xmlns:sle15="http://schemas.microsoft.com/office/drawing/2012/slicer" Requires="sle15">
        <xdr:graphicFrame macro="">
          <xdr:nvGraphicFramePr>
            <xdr:cNvPr id="3" name="State">
              <a:extLst>
                <a:ext uri="{FF2B5EF4-FFF2-40B4-BE49-F238E27FC236}">
                  <a16:creationId xmlns:a16="http://schemas.microsoft.com/office/drawing/2014/main" id="{57E8CBFF-DEF9-4B07-9D3B-7A95F49D5E2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471952" y="25232"/>
              <a:ext cx="4857121" cy="22014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FDC" refreshedDate="44596.987068402777" createdVersion="7" refreshedVersion="7" minRefreshableVersion="3" recordCount="37" xr:uid="{1AFE8B16-9336-44CB-903A-D00E658B3A99}">
  <cacheSource type="worksheet">
    <worksheetSource name="CovidCase_Tbl"/>
  </cacheSource>
  <cacheFields count="5">
    <cacheField name="States Affected" numFmtId="0">
      <sharedItems count="37">
        <s v="Lagos"/>
        <s v="FCT"/>
        <s v="Rivers"/>
        <s v="Kaduna"/>
        <s v="Plateau"/>
        <s v="Oyo"/>
        <s v="Edo"/>
        <s v="Ogun"/>
        <s v="Delta"/>
        <s v="Ondo"/>
        <s v="Kano"/>
        <s v="Akwa Ibom"/>
        <s v="Kwara"/>
        <s v="Gombe"/>
        <s v="Osun"/>
        <s v="Enugu"/>
        <s v="Anambra"/>
        <s v="Nasarawa"/>
        <s v="Imo"/>
        <s v="Katsina"/>
        <s v="Abia"/>
        <s v="Benue"/>
        <s v="Ebonyi"/>
        <s v="Ekiti"/>
        <s v="Bauchi"/>
        <s v="Borno"/>
        <s v="Taraba"/>
        <s v="Bayelsa"/>
        <s v="Adamawa"/>
        <s v="Niger"/>
        <s v="Sokoto"/>
        <s v="Cross River"/>
        <s v="Jigawa"/>
        <s v="Yobe"/>
        <s v="Kebbi"/>
        <s v="Zamfara"/>
        <s v="Kogi"/>
      </sharedItems>
    </cacheField>
    <cacheField name="No. of Cases (Lab Confirmed)" numFmtId="0">
      <sharedItems containsSemiMixedTypes="0" containsString="0" containsNumber="1" containsInteger="1" minValue="5" maxValue="98499"/>
    </cacheField>
    <cacheField name="No. of Cases (on admission)" numFmtId="0">
      <sharedItems containsSemiMixedTypes="0" containsString="0" containsNumber="1" containsInteger="1" minValue="0" maxValue="17664"/>
    </cacheField>
    <cacheField name="No. Discharged" numFmtId="0">
      <sharedItems containsSemiMixedTypes="0" containsString="0" containsNumber="1" containsInteger="1" minValue="3" maxValue="80066"/>
    </cacheField>
    <cacheField name="No. of Deaths" numFmtId="0">
      <sharedItems containsSemiMixedTypes="0" containsString="0" containsNumber="1" containsInteger="1" minValue="2" maxValue="7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n v="98499"/>
    <n v="17664"/>
    <n v="80066"/>
    <n v="769"/>
  </r>
  <r>
    <x v="1"/>
    <n v="28232"/>
    <n v="249"/>
    <n v="27736"/>
    <n v="247"/>
  </r>
  <r>
    <x v="2"/>
    <n v="16461"/>
    <n v="95"/>
    <n v="16212"/>
    <n v="154"/>
  </r>
  <r>
    <x v="3"/>
    <n v="11192"/>
    <n v="18"/>
    <n v="11086"/>
    <n v="88"/>
  </r>
  <r>
    <x v="4"/>
    <n v="10227"/>
    <n v="3"/>
    <n v="10149"/>
    <n v="75"/>
  </r>
  <r>
    <x v="5"/>
    <n v="10202"/>
    <n v="116"/>
    <n v="9885"/>
    <n v="201"/>
  </r>
  <r>
    <x v="6"/>
    <n v="7675"/>
    <n v="15"/>
    <n v="7339"/>
    <n v="321"/>
  </r>
  <r>
    <x v="7"/>
    <n v="5805"/>
    <n v="17"/>
    <n v="5706"/>
    <n v="82"/>
  </r>
  <r>
    <x v="8"/>
    <n v="5330"/>
    <n v="49"/>
    <n v="5170"/>
    <n v="111"/>
  </r>
  <r>
    <x v="9"/>
    <n v="5143"/>
    <n v="363"/>
    <n v="4673"/>
    <n v="107"/>
  </r>
  <r>
    <x v="10"/>
    <n v="4944"/>
    <n v="72"/>
    <n v="4745"/>
    <n v="127"/>
  </r>
  <r>
    <x v="11"/>
    <n v="4638"/>
    <n v="32"/>
    <n v="4562"/>
    <n v="44"/>
  </r>
  <r>
    <x v="12"/>
    <n v="4551"/>
    <n v="312"/>
    <n v="4175"/>
    <n v="64"/>
  </r>
  <r>
    <x v="13"/>
    <n v="3287"/>
    <n v="115"/>
    <n v="3108"/>
    <n v="64"/>
  </r>
  <r>
    <x v="14"/>
    <n v="3283"/>
    <n v="52"/>
    <n v="3139"/>
    <n v="92"/>
  </r>
  <r>
    <x v="15"/>
    <n v="2952"/>
    <n v="13"/>
    <n v="2910"/>
    <n v="29"/>
  </r>
  <r>
    <x v="16"/>
    <n v="2825"/>
    <n v="46"/>
    <n v="2760"/>
    <n v="19"/>
  </r>
  <r>
    <x v="17"/>
    <n v="2706"/>
    <n v="322"/>
    <n v="2345"/>
    <n v="39"/>
  </r>
  <r>
    <x v="18"/>
    <n v="2447"/>
    <n v="105"/>
    <n v="2284"/>
    <n v="58"/>
  </r>
  <r>
    <x v="19"/>
    <n v="2399"/>
    <n v="23"/>
    <n v="2339"/>
    <n v="37"/>
  </r>
  <r>
    <x v="20"/>
    <n v="2152"/>
    <n v="6"/>
    <n v="2112"/>
    <n v="34"/>
  </r>
  <r>
    <x v="21"/>
    <n v="2129"/>
    <n v="340"/>
    <n v="1764"/>
    <n v="25"/>
  </r>
  <r>
    <x v="22"/>
    <n v="2064"/>
    <n v="28"/>
    <n v="2004"/>
    <n v="32"/>
  </r>
  <r>
    <x v="23"/>
    <n v="1979"/>
    <n v="32"/>
    <n v="1919"/>
    <n v="28"/>
  </r>
  <r>
    <x v="24"/>
    <n v="1939"/>
    <n v="37"/>
    <n v="1878"/>
    <n v="24"/>
  </r>
  <r>
    <x v="25"/>
    <n v="1629"/>
    <n v="5"/>
    <n v="1580"/>
    <n v="44"/>
  </r>
  <r>
    <x v="26"/>
    <n v="1469"/>
    <n v="58"/>
    <n v="1377"/>
    <n v="34"/>
  </r>
  <r>
    <x v="27"/>
    <n v="1308"/>
    <n v="3"/>
    <n v="1277"/>
    <n v="28"/>
  </r>
  <r>
    <x v="28"/>
    <n v="1203"/>
    <n v="68"/>
    <n v="1103"/>
    <n v="32"/>
  </r>
  <r>
    <x v="29"/>
    <n v="1144"/>
    <n v="126"/>
    <n v="998"/>
    <n v="20"/>
  </r>
  <r>
    <x v="30"/>
    <n v="817"/>
    <n v="6"/>
    <n v="783"/>
    <n v="28"/>
  </r>
  <r>
    <x v="31"/>
    <n v="785"/>
    <n v="7"/>
    <n v="753"/>
    <n v="25"/>
  </r>
  <r>
    <x v="32"/>
    <n v="665"/>
    <n v="4"/>
    <n v="643"/>
    <n v="18"/>
  </r>
  <r>
    <x v="33"/>
    <n v="564"/>
    <n v="65"/>
    <n v="490"/>
    <n v="9"/>
  </r>
  <r>
    <x v="34"/>
    <n v="480"/>
    <n v="10"/>
    <n v="454"/>
    <n v="16"/>
  </r>
  <r>
    <x v="35"/>
    <n v="375"/>
    <n v="0"/>
    <n v="366"/>
    <n v="9"/>
  </r>
  <r>
    <x v="36"/>
    <n v="5"/>
    <n v="0"/>
    <n v="3"/>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02DE8-BB43-4BCD-93D7-F8684383A080}"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A15" firstHeaderRow="1" firstDataRow="1" firstDataCol="0"/>
  <pivotFields count="5">
    <pivotField showAll="0"/>
    <pivotField showAll="0"/>
    <pivotField showAll="0"/>
    <pivotField showAll="0"/>
    <pivotField dataField="1" showAll="0"/>
  </pivotFields>
  <rowItems count="1">
    <i/>
  </rowItems>
  <colItems count="1">
    <i/>
  </colItems>
  <dataFields count="1">
    <dataField name="Sum of No. of Death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3E88B1-CF48-4B00-9F06-30CC705D3E0E}"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5">
    <pivotField showAll="0"/>
    <pivotField showAll="0"/>
    <pivotField showAll="0"/>
    <pivotField dataField="1" showAll="0"/>
    <pivotField showAll="0"/>
  </pivotFields>
  <rowItems count="1">
    <i/>
  </rowItems>
  <colItems count="1">
    <i/>
  </colItems>
  <dataFields count="1">
    <dataField name="Sum of No. Discharg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D75279-166A-4911-A495-3DB29FA207D6}"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5">
    <pivotField showAll="0"/>
    <pivotField showAll="0"/>
    <pivotField dataField="1" showAll="0"/>
    <pivotField showAll="0"/>
    <pivotField showAll="0"/>
  </pivotFields>
  <rowItems count="1">
    <i/>
  </rowItems>
  <colItems count="1">
    <i/>
  </colItems>
  <dataFields count="1">
    <dataField name="Sum of No. of Active Cases "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C27D49-AE2E-4D4C-9398-641E07BE6ECB}"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5">
    <pivotField showAll="0"/>
    <pivotField dataField="1" showAll="0"/>
    <pivotField showAll="0"/>
    <pivotField showAll="0"/>
    <pivotField showAll="0"/>
  </pivotFields>
  <rowItems count="1">
    <i/>
  </rowItems>
  <colItems count="1">
    <i/>
  </colItems>
  <dataFields count="1">
    <dataField name="Sum of No. of Cases (Confirme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342AC2-45AB-4288-B8ED-7985E683EF43}" name="PivotTable5"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tate">
  <location ref="A1:B39" firstHeaderRow="1" firstDataRow="1" firstDataCol="1"/>
  <pivotFields count="5">
    <pivotField axis="axisRow" showAll="0" sortType="descending">
      <items count="38">
        <item x="20"/>
        <item x="28"/>
        <item x="11"/>
        <item x="16"/>
        <item x="24"/>
        <item x="27"/>
        <item x="21"/>
        <item x="25"/>
        <item x="31"/>
        <item x="8"/>
        <item x="22"/>
        <item x="6"/>
        <item x="23"/>
        <item x="15"/>
        <item x="1"/>
        <item x="13"/>
        <item x="18"/>
        <item x="32"/>
        <item x="3"/>
        <item x="10"/>
        <item x="19"/>
        <item x="34"/>
        <item x="36"/>
        <item x="12"/>
        <item x="0"/>
        <item x="17"/>
        <item x="29"/>
        <item x="7"/>
        <item x="9"/>
        <item x="14"/>
        <item x="5"/>
        <item x="4"/>
        <item x="2"/>
        <item x="30"/>
        <item x="26"/>
        <item x="33"/>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0"/>
  </rowFields>
  <rowItems count="38">
    <i>
      <x v="24"/>
    </i>
    <i>
      <x v="11"/>
    </i>
    <i>
      <x v="14"/>
    </i>
    <i>
      <x v="30"/>
    </i>
    <i>
      <x v="32"/>
    </i>
    <i>
      <x v="19"/>
    </i>
    <i>
      <x v="9"/>
    </i>
    <i>
      <x v="28"/>
    </i>
    <i>
      <x v="29"/>
    </i>
    <i>
      <x v="18"/>
    </i>
    <i>
      <x v="27"/>
    </i>
    <i>
      <x v="31"/>
    </i>
    <i>
      <x v="15"/>
    </i>
    <i>
      <x v="23"/>
    </i>
    <i>
      <x v="16"/>
    </i>
    <i>
      <x v="7"/>
    </i>
    <i>
      <x v="2"/>
    </i>
    <i>
      <x v="25"/>
    </i>
    <i>
      <x v="20"/>
    </i>
    <i>
      <x/>
    </i>
    <i>
      <x v="34"/>
    </i>
    <i>
      <x v="1"/>
    </i>
    <i>
      <x v="10"/>
    </i>
    <i>
      <x v="13"/>
    </i>
    <i>
      <x v="33"/>
    </i>
    <i>
      <x v="5"/>
    </i>
    <i>
      <x v="12"/>
    </i>
    <i>
      <x v="6"/>
    </i>
    <i>
      <x v="8"/>
    </i>
    <i>
      <x v="4"/>
    </i>
    <i>
      <x v="26"/>
    </i>
    <i>
      <x v="3"/>
    </i>
    <i>
      <x v="17"/>
    </i>
    <i>
      <x v="21"/>
    </i>
    <i>
      <x v="35"/>
    </i>
    <i>
      <x v="36"/>
    </i>
    <i>
      <x v="22"/>
    </i>
    <i t="grand">
      <x/>
    </i>
  </rowItems>
  <colItems count="1">
    <i/>
  </colItems>
  <dataFields count="1">
    <dataField name="Sum of No. of Death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88CD1F-035B-4710-A272-43EE8459F596}" autoFormatId="16" applyNumberFormats="0" applyBorderFormats="0" applyFontFormats="0" applyPatternFormats="0" applyAlignmentFormats="0" applyWidthHeightFormats="0">
  <queryTableRefresh nextId="7" unboundColumnsRight="1">
    <queryTableFields count="6">
      <queryTableField id="1" name="States Affected" tableColumnId="1"/>
      <queryTableField id="2" name="No. of Cases (Lab Confirmed)" tableColumnId="2"/>
      <queryTableField id="3" name="No. of Cases (on admission)" tableColumnId="3"/>
      <queryTableField id="4" name="No. Discharged" tableColumnId="4"/>
      <queryTableField id="5" name="No. of Deaths"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26E51EA-6064-46DF-A39C-7A639EB6BA98}" sourceName="St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4D78A73-E1E7-434A-B85F-B225D29B2F0D}" cache="Slicer_State" caption="State" columnCoun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5B303D-B3D8-4122-BF18-B99EB41EF9F0}" name="CovidCase_Tbl" displayName="CovidCase_Tbl" ref="A1:F38" tableType="queryTable" totalsRowShown="0">
  <tableColumns count="6">
    <tableColumn id="1" xr3:uid="{E626C41B-F73D-4A4D-AF47-285B846FAF1C}" uniqueName="1" name="States Affected" queryTableFieldId="1" dataDxfId="3"/>
    <tableColumn id="2" xr3:uid="{7834212B-E1B5-4D45-948F-880286F9E518}" uniqueName="2" name="No. of Cases (Lab Confirmed)" queryTableFieldId="2"/>
    <tableColumn id="3" xr3:uid="{A0025459-D2FA-4AE8-84F0-9BDDD06A6702}" uniqueName="3" name="No. of Cases (on admission)" queryTableFieldId="3"/>
    <tableColumn id="4" xr3:uid="{30C00213-7AD9-4DF3-B814-6C152089B398}" uniqueName="4" name="No. Discharged" queryTableFieldId="4"/>
    <tableColumn id="5" xr3:uid="{830156FC-878B-4996-AAA1-DC0DD1A3CE1D}" uniqueName="5" name="No. of Deaths" queryTableFieldId="5"/>
    <tableColumn id="6" xr3:uid="{8EC64E7D-459D-41F9-B947-FAC9006923BD}" uniqueName="6" name="Column1" queryTableFieldId="6" dataDxfId="2">
      <calculatedColumnFormula>B2-(D2+E2)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EC1237-7B63-4804-8791-9D808512B5C3}" name="Table2" displayName="Table2" ref="E6:F43" totalsRowShown="0">
  <autoFilter ref="E6:F43" xr:uid="{2DEC1237-7B63-4804-8791-9D808512B5C3}">
    <filterColumn colId="0">
      <filters>
        <filter val="Bayelsa"/>
      </filters>
    </filterColumn>
  </autoFilter>
  <tableColumns count="2">
    <tableColumn id="1" xr3:uid="{607F4B9A-2AEE-4BDC-9B91-AC14EEC883DF}" name="State" dataDxfId="1"/>
    <tableColumn id="2" xr3:uid="{9885A524-3AF9-493D-868F-B10D92D8F7A4}" name="ConfirmedCa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C9048-1FC0-4AF4-983A-9F0986858E09}">
  <dimension ref="A1:F38"/>
  <sheetViews>
    <sheetView topLeftCell="A16" zoomScale="146" zoomScaleNormal="146" workbookViewId="0">
      <selection activeCell="B2" sqref="B2:B38"/>
    </sheetView>
  </sheetViews>
  <sheetFormatPr defaultRowHeight="15" x14ac:dyDescent="0.25"/>
  <cols>
    <col min="1" max="1" width="17" bestFit="1" customWidth="1"/>
    <col min="2" max="2" width="29.42578125" bestFit="1" customWidth="1"/>
    <col min="3" max="3" width="28.28515625" bestFit="1" customWidth="1"/>
    <col min="4" max="4" width="16.7109375" bestFit="1" customWidth="1"/>
    <col min="5" max="5" width="15.42578125" bestFit="1" customWidth="1"/>
  </cols>
  <sheetData>
    <row r="1" spans="1:6" x14ac:dyDescent="0.25">
      <c r="A1" t="s">
        <v>0</v>
      </c>
      <c r="B1" t="s">
        <v>1</v>
      </c>
      <c r="C1" t="s">
        <v>2</v>
      </c>
      <c r="D1" t="s">
        <v>3</v>
      </c>
      <c r="E1" t="s">
        <v>4</v>
      </c>
      <c r="F1" t="s">
        <v>43</v>
      </c>
    </row>
    <row r="2" spans="1:6" x14ac:dyDescent="0.25">
      <c r="A2" s="1" t="s">
        <v>5</v>
      </c>
      <c r="B2">
        <v>98499</v>
      </c>
      <c r="C2">
        <v>17664</v>
      </c>
      <c r="D2">
        <v>80066</v>
      </c>
      <c r="E2">
        <v>769</v>
      </c>
      <c r="F2">
        <f t="shared" ref="F2:F38" si="0">B2-(D2+E2)</f>
        <v>17664</v>
      </c>
    </row>
    <row r="3" spans="1:6" x14ac:dyDescent="0.25">
      <c r="A3" s="1" t="s">
        <v>6</v>
      </c>
      <c r="B3">
        <v>28232</v>
      </c>
      <c r="C3">
        <v>249</v>
      </c>
      <c r="D3">
        <v>27736</v>
      </c>
      <c r="E3">
        <v>247</v>
      </c>
      <c r="F3">
        <f t="shared" si="0"/>
        <v>249</v>
      </c>
    </row>
    <row r="4" spans="1:6" x14ac:dyDescent="0.25">
      <c r="A4" s="1" t="s">
        <v>7</v>
      </c>
      <c r="B4">
        <v>16461</v>
      </c>
      <c r="C4">
        <v>95</v>
      </c>
      <c r="D4">
        <v>16212</v>
      </c>
      <c r="E4">
        <v>154</v>
      </c>
      <c r="F4">
        <f t="shared" si="0"/>
        <v>95</v>
      </c>
    </row>
    <row r="5" spans="1:6" x14ac:dyDescent="0.25">
      <c r="A5" s="1" t="s">
        <v>8</v>
      </c>
      <c r="B5">
        <v>11192</v>
      </c>
      <c r="C5">
        <v>18</v>
      </c>
      <c r="D5">
        <v>11086</v>
      </c>
      <c r="E5">
        <v>88</v>
      </c>
      <c r="F5">
        <f t="shared" si="0"/>
        <v>18</v>
      </c>
    </row>
    <row r="6" spans="1:6" x14ac:dyDescent="0.25">
      <c r="A6" s="1" t="s">
        <v>9</v>
      </c>
      <c r="B6">
        <v>10227</v>
      </c>
      <c r="C6">
        <v>3</v>
      </c>
      <c r="D6">
        <v>10149</v>
      </c>
      <c r="E6">
        <v>75</v>
      </c>
      <c r="F6">
        <f t="shared" si="0"/>
        <v>3</v>
      </c>
    </row>
    <row r="7" spans="1:6" x14ac:dyDescent="0.25">
      <c r="A7" s="1" t="s">
        <v>10</v>
      </c>
      <c r="B7">
        <v>10202</v>
      </c>
      <c r="C7">
        <v>116</v>
      </c>
      <c r="D7">
        <v>9885</v>
      </c>
      <c r="E7">
        <v>201</v>
      </c>
      <c r="F7">
        <f t="shared" si="0"/>
        <v>116</v>
      </c>
    </row>
    <row r="8" spans="1:6" x14ac:dyDescent="0.25">
      <c r="A8" s="1" t="s">
        <v>11</v>
      </c>
      <c r="B8">
        <v>7675</v>
      </c>
      <c r="C8">
        <v>15</v>
      </c>
      <c r="D8">
        <v>7339</v>
      </c>
      <c r="E8">
        <v>321</v>
      </c>
      <c r="F8">
        <f t="shared" si="0"/>
        <v>15</v>
      </c>
    </row>
    <row r="9" spans="1:6" x14ac:dyDescent="0.25">
      <c r="A9" s="1" t="s">
        <v>12</v>
      </c>
      <c r="B9">
        <v>5805</v>
      </c>
      <c r="C9">
        <v>17</v>
      </c>
      <c r="D9">
        <v>5706</v>
      </c>
      <c r="E9">
        <v>82</v>
      </c>
      <c r="F9">
        <f t="shared" si="0"/>
        <v>17</v>
      </c>
    </row>
    <row r="10" spans="1:6" x14ac:dyDescent="0.25">
      <c r="A10" s="1" t="s">
        <v>13</v>
      </c>
      <c r="B10">
        <v>5330</v>
      </c>
      <c r="C10">
        <v>49</v>
      </c>
      <c r="D10">
        <v>5170</v>
      </c>
      <c r="E10">
        <v>111</v>
      </c>
      <c r="F10">
        <f t="shared" si="0"/>
        <v>49</v>
      </c>
    </row>
    <row r="11" spans="1:6" x14ac:dyDescent="0.25">
      <c r="A11" s="1" t="s">
        <v>14</v>
      </c>
      <c r="B11">
        <v>5143</v>
      </c>
      <c r="C11">
        <v>363</v>
      </c>
      <c r="D11">
        <v>4673</v>
      </c>
      <c r="E11">
        <v>107</v>
      </c>
      <c r="F11">
        <f t="shared" si="0"/>
        <v>363</v>
      </c>
    </row>
    <row r="12" spans="1:6" x14ac:dyDescent="0.25">
      <c r="A12" s="1" t="s">
        <v>15</v>
      </c>
      <c r="B12">
        <v>4944</v>
      </c>
      <c r="C12">
        <v>72</v>
      </c>
      <c r="D12">
        <v>4745</v>
      </c>
      <c r="E12">
        <v>127</v>
      </c>
      <c r="F12">
        <f t="shared" si="0"/>
        <v>72</v>
      </c>
    </row>
    <row r="13" spans="1:6" x14ac:dyDescent="0.25">
      <c r="A13" s="1" t="s">
        <v>16</v>
      </c>
      <c r="B13">
        <v>4638</v>
      </c>
      <c r="C13">
        <v>32</v>
      </c>
      <c r="D13">
        <v>4562</v>
      </c>
      <c r="E13">
        <v>44</v>
      </c>
      <c r="F13">
        <f t="shared" si="0"/>
        <v>32</v>
      </c>
    </row>
    <row r="14" spans="1:6" x14ac:dyDescent="0.25">
      <c r="A14" s="1" t="s">
        <v>17</v>
      </c>
      <c r="B14">
        <v>4551</v>
      </c>
      <c r="C14">
        <v>312</v>
      </c>
      <c r="D14">
        <v>4175</v>
      </c>
      <c r="E14">
        <v>64</v>
      </c>
      <c r="F14">
        <f t="shared" si="0"/>
        <v>312</v>
      </c>
    </row>
    <row r="15" spans="1:6" x14ac:dyDescent="0.25">
      <c r="A15" s="1" t="s">
        <v>18</v>
      </c>
      <c r="B15">
        <v>3287</v>
      </c>
      <c r="C15">
        <v>115</v>
      </c>
      <c r="D15">
        <v>3108</v>
      </c>
      <c r="E15">
        <v>64</v>
      </c>
      <c r="F15">
        <f t="shared" si="0"/>
        <v>115</v>
      </c>
    </row>
    <row r="16" spans="1:6" x14ac:dyDescent="0.25">
      <c r="A16" s="1" t="s">
        <v>19</v>
      </c>
      <c r="B16">
        <v>3283</v>
      </c>
      <c r="C16">
        <v>52</v>
      </c>
      <c r="D16">
        <v>3139</v>
      </c>
      <c r="E16">
        <v>92</v>
      </c>
      <c r="F16">
        <f t="shared" si="0"/>
        <v>52</v>
      </c>
    </row>
    <row r="17" spans="1:6" x14ac:dyDescent="0.25">
      <c r="A17" s="1" t="s">
        <v>20</v>
      </c>
      <c r="B17">
        <v>2952</v>
      </c>
      <c r="C17">
        <v>13</v>
      </c>
      <c r="D17">
        <v>2910</v>
      </c>
      <c r="E17">
        <v>29</v>
      </c>
      <c r="F17">
        <f t="shared" si="0"/>
        <v>13</v>
      </c>
    </row>
    <row r="18" spans="1:6" x14ac:dyDescent="0.25">
      <c r="A18" s="1" t="s">
        <v>21</v>
      </c>
      <c r="B18">
        <v>2825</v>
      </c>
      <c r="C18">
        <v>46</v>
      </c>
      <c r="D18">
        <v>2760</v>
      </c>
      <c r="E18">
        <v>19</v>
      </c>
      <c r="F18">
        <f t="shared" si="0"/>
        <v>46</v>
      </c>
    </row>
    <row r="19" spans="1:6" x14ac:dyDescent="0.25">
      <c r="A19" s="1" t="s">
        <v>22</v>
      </c>
      <c r="B19">
        <v>2706</v>
      </c>
      <c r="C19">
        <v>322</v>
      </c>
      <c r="D19">
        <v>2345</v>
      </c>
      <c r="E19">
        <v>39</v>
      </c>
      <c r="F19">
        <f t="shared" si="0"/>
        <v>322</v>
      </c>
    </row>
    <row r="20" spans="1:6" x14ac:dyDescent="0.25">
      <c r="A20" s="1" t="s">
        <v>23</v>
      </c>
      <c r="B20">
        <v>2447</v>
      </c>
      <c r="C20">
        <v>105</v>
      </c>
      <c r="D20">
        <v>2284</v>
      </c>
      <c r="E20">
        <v>58</v>
      </c>
      <c r="F20">
        <f t="shared" si="0"/>
        <v>105</v>
      </c>
    </row>
    <row r="21" spans="1:6" x14ac:dyDescent="0.25">
      <c r="A21" s="1" t="s">
        <v>24</v>
      </c>
      <c r="B21">
        <v>2399</v>
      </c>
      <c r="C21">
        <v>23</v>
      </c>
      <c r="D21">
        <v>2339</v>
      </c>
      <c r="E21">
        <v>37</v>
      </c>
      <c r="F21">
        <f t="shared" si="0"/>
        <v>23</v>
      </c>
    </row>
    <row r="22" spans="1:6" x14ac:dyDescent="0.25">
      <c r="A22" s="1" t="s">
        <v>25</v>
      </c>
      <c r="B22">
        <v>2152</v>
      </c>
      <c r="C22">
        <v>6</v>
      </c>
      <c r="D22">
        <v>2112</v>
      </c>
      <c r="E22">
        <v>34</v>
      </c>
      <c r="F22">
        <f t="shared" si="0"/>
        <v>6</v>
      </c>
    </row>
    <row r="23" spans="1:6" x14ac:dyDescent="0.25">
      <c r="A23" s="1" t="s">
        <v>26</v>
      </c>
      <c r="B23">
        <v>2129</v>
      </c>
      <c r="C23">
        <v>340</v>
      </c>
      <c r="D23">
        <v>1764</v>
      </c>
      <c r="E23">
        <v>25</v>
      </c>
      <c r="F23">
        <f t="shared" si="0"/>
        <v>340</v>
      </c>
    </row>
    <row r="24" spans="1:6" x14ac:dyDescent="0.25">
      <c r="A24" s="1" t="s">
        <v>27</v>
      </c>
      <c r="B24">
        <v>2064</v>
      </c>
      <c r="C24">
        <v>28</v>
      </c>
      <c r="D24">
        <v>2004</v>
      </c>
      <c r="E24">
        <v>32</v>
      </c>
      <c r="F24">
        <f t="shared" si="0"/>
        <v>28</v>
      </c>
    </row>
    <row r="25" spans="1:6" x14ac:dyDescent="0.25">
      <c r="A25" s="1" t="s">
        <v>28</v>
      </c>
      <c r="B25">
        <v>1979</v>
      </c>
      <c r="C25">
        <v>32</v>
      </c>
      <c r="D25">
        <v>1919</v>
      </c>
      <c r="E25">
        <v>28</v>
      </c>
      <c r="F25">
        <f t="shared" si="0"/>
        <v>32</v>
      </c>
    </row>
    <row r="26" spans="1:6" x14ac:dyDescent="0.25">
      <c r="A26" s="1" t="s">
        <v>29</v>
      </c>
      <c r="B26">
        <v>1939</v>
      </c>
      <c r="C26">
        <v>37</v>
      </c>
      <c r="D26">
        <v>1878</v>
      </c>
      <c r="E26">
        <v>24</v>
      </c>
      <c r="F26">
        <f t="shared" si="0"/>
        <v>37</v>
      </c>
    </row>
    <row r="27" spans="1:6" x14ac:dyDescent="0.25">
      <c r="A27" s="1" t="s">
        <v>30</v>
      </c>
      <c r="B27">
        <v>1629</v>
      </c>
      <c r="C27">
        <v>5</v>
      </c>
      <c r="D27">
        <v>1580</v>
      </c>
      <c r="E27">
        <v>44</v>
      </c>
      <c r="F27">
        <f t="shared" si="0"/>
        <v>5</v>
      </c>
    </row>
    <row r="28" spans="1:6" x14ac:dyDescent="0.25">
      <c r="A28" s="1" t="s">
        <v>31</v>
      </c>
      <c r="B28">
        <v>1469</v>
      </c>
      <c r="C28">
        <v>58</v>
      </c>
      <c r="D28">
        <v>1377</v>
      </c>
      <c r="E28">
        <v>34</v>
      </c>
      <c r="F28">
        <f t="shared" si="0"/>
        <v>58</v>
      </c>
    </row>
    <row r="29" spans="1:6" x14ac:dyDescent="0.25">
      <c r="A29" s="1" t="s">
        <v>32</v>
      </c>
      <c r="B29">
        <v>1308</v>
      </c>
      <c r="C29">
        <v>3</v>
      </c>
      <c r="D29">
        <v>1277</v>
      </c>
      <c r="E29">
        <v>28</v>
      </c>
      <c r="F29">
        <f t="shared" si="0"/>
        <v>3</v>
      </c>
    </row>
    <row r="30" spans="1:6" x14ac:dyDescent="0.25">
      <c r="A30" s="1" t="s">
        <v>33</v>
      </c>
      <c r="B30">
        <v>1203</v>
      </c>
      <c r="C30">
        <v>68</v>
      </c>
      <c r="D30">
        <v>1103</v>
      </c>
      <c r="E30">
        <v>32</v>
      </c>
      <c r="F30">
        <f t="shared" si="0"/>
        <v>68</v>
      </c>
    </row>
    <row r="31" spans="1:6" x14ac:dyDescent="0.25">
      <c r="A31" s="1" t="s">
        <v>34</v>
      </c>
      <c r="B31">
        <v>1144</v>
      </c>
      <c r="C31">
        <v>126</v>
      </c>
      <c r="D31">
        <v>998</v>
      </c>
      <c r="E31">
        <v>20</v>
      </c>
      <c r="F31">
        <f t="shared" si="0"/>
        <v>126</v>
      </c>
    </row>
    <row r="32" spans="1:6" x14ac:dyDescent="0.25">
      <c r="A32" s="1" t="s">
        <v>35</v>
      </c>
      <c r="B32">
        <v>817</v>
      </c>
      <c r="C32">
        <v>6</v>
      </c>
      <c r="D32">
        <v>783</v>
      </c>
      <c r="E32">
        <v>28</v>
      </c>
      <c r="F32">
        <f t="shared" si="0"/>
        <v>6</v>
      </c>
    </row>
    <row r="33" spans="1:6" x14ac:dyDescent="0.25">
      <c r="A33" s="1" t="s">
        <v>36</v>
      </c>
      <c r="B33">
        <v>785</v>
      </c>
      <c r="C33">
        <v>7</v>
      </c>
      <c r="D33">
        <v>753</v>
      </c>
      <c r="E33">
        <v>25</v>
      </c>
      <c r="F33">
        <f t="shared" si="0"/>
        <v>7</v>
      </c>
    </row>
    <row r="34" spans="1:6" x14ac:dyDescent="0.25">
      <c r="A34" s="1" t="s">
        <v>37</v>
      </c>
      <c r="B34">
        <v>665</v>
      </c>
      <c r="C34">
        <v>4</v>
      </c>
      <c r="D34">
        <v>643</v>
      </c>
      <c r="E34">
        <v>18</v>
      </c>
      <c r="F34">
        <f t="shared" si="0"/>
        <v>4</v>
      </c>
    </row>
    <row r="35" spans="1:6" x14ac:dyDescent="0.25">
      <c r="A35" s="1" t="s">
        <v>38</v>
      </c>
      <c r="B35">
        <v>564</v>
      </c>
      <c r="C35">
        <v>65</v>
      </c>
      <c r="D35">
        <v>490</v>
      </c>
      <c r="E35">
        <v>9</v>
      </c>
      <c r="F35">
        <f t="shared" si="0"/>
        <v>65</v>
      </c>
    </row>
    <row r="36" spans="1:6" x14ac:dyDescent="0.25">
      <c r="A36" s="1" t="s">
        <v>39</v>
      </c>
      <c r="B36">
        <v>480</v>
      </c>
      <c r="C36">
        <v>10</v>
      </c>
      <c r="D36">
        <v>454</v>
      </c>
      <c r="E36">
        <v>16</v>
      </c>
      <c r="F36">
        <f t="shared" si="0"/>
        <v>10</v>
      </c>
    </row>
    <row r="37" spans="1:6" x14ac:dyDescent="0.25">
      <c r="A37" s="1" t="s">
        <v>40</v>
      </c>
      <c r="B37">
        <v>375</v>
      </c>
      <c r="C37">
        <v>0</v>
      </c>
      <c r="D37">
        <v>366</v>
      </c>
      <c r="E37">
        <v>9</v>
      </c>
      <c r="F37">
        <f t="shared" si="0"/>
        <v>0</v>
      </c>
    </row>
    <row r="38" spans="1:6" x14ac:dyDescent="0.25">
      <c r="A38" s="1" t="s">
        <v>41</v>
      </c>
      <c r="B38">
        <v>5</v>
      </c>
      <c r="C38">
        <v>0</v>
      </c>
      <c r="D38">
        <v>3</v>
      </c>
      <c r="E38">
        <v>2</v>
      </c>
      <c r="F38">
        <f t="shared" si="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07A2-FBC2-48BA-983A-8D7EFE617904}">
  <dimension ref="A1:A15"/>
  <sheetViews>
    <sheetView workbookViewId="0">
      <selection activeCell="E28" sqref="E28"/>
    </sheetView>
  </sheetViews>
  <sheetFormatPr defaultRowHeight="15" x14ac:dyDescent="0.25"/>
  <cols>
    <col min="1" max="1" width="19.85546875" bestFit="1" customWidth="1"/>
  </cols>
  <sheetData>
    <row r="1" spans="1:1" x14ac:dyDescent="0.25">
      <c r="A1" s="5" t="s">
        <v>44</v>
      </c>
    </row>
    <row r="2" spans="1:1" x14ac:dyDescent="0.25">
      <c r="A2" t="s">
        <v>42</v>
      </c>
    </row>
    <row r="3" spans="1:1" x14ac:dyDescent="0.25">
      <c r="A3" s="1">
        <v>253505</v>
      </c>
    </row>
    <row r="6" spans="1:1" x14ac:dyDescent="0.25">
      <c r="A6" t="s">
        <v>47</v>
      </c>
    </row>
    <row r="7" spans="1:1" x14ac:dyDescent="0.25">
      <c r="A7" s="1">
        <v>20476</v>
      </c>
    </row>
    <row r="10" spans="1:1" x14ac:dyDescent="0.25">
      <c r="A10" t="s">
        <v>45</v>
      </c>
    </row>
    <row r="11" spans="1:1" x14ac:dyDescent="0.25">
      <c r="A11" s="1">
        <v>229893</v>
      </c>
    </row>
    <row r="14" spans="1:1" x14ac:dyDescent="0.25">
      <c r="A14" t="s">
        <v>46</v>
      </c>
    </row>
    <row r="15" spans="1:1" x14ac:dyDescent="0.25">
      <c r="A15" s="1">
        <v>3136</v>
      </c>
    </row>
  </sheetData>
  <pageMargins left="0.7" right="0.7" top="0.75" bottom="0.75" header="0.3" footer="0.3"/>
  <pageSetup orientation="portrait" horizontalDpi="4294967293" verticalDpi="4294967293"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8097-17E4-4D9E-9E16-82D1EBE17E30}">
  <dimension ref="A1:F43"/>
  <sheetViews>
    <sheetView workbookViewId="0">
      <selection activeCell="E6" sqref="E6:F43"/>
    </sheetView>
  </sheetViews>
  <sheetFormatPr defaultRowHeight="15" x14ac:dyDescent="0.25"/>
  <cols>
    <col min="1" max="1" width="11.28515625" bestFit="1" customWidth="1"/>
    <col min="2" max="2" width="19.85546875" bestFit="1" customWidth="1"/>
    <col min="6" max="6" width="17.5703125" customWidth="1"/>
  </cols>
  <sheetData>
    <row r="1" spans="1:6" x14ac:dyDescent="0.25">
      <c r="A1" s="4" t="s">
        <v>49</v>
      </c>
      <c r="B1" t="s">
        <v>46</v>
      </c>
    </row>
    <row r="2" spans="1:6" x14ac:dyDescent="0.25">
      <c r="A2" s="6" t="s">
        <v>5</v>
      </c>
      <c r="B2" s="1">
        <v>769</v>
      </c>
    </row>
    <row r="3" spans="1:6" x14ac:dyDescent="0.25">
      <c r="A3" s="6" t="s">
        <v>11</v>
      </c>
      <c r="B3" s="1">
        <v>321</v>
      </c>
    </row>
    <row r="4" spans="1:6" x14ac:dyDescent="0.25">
      <c r="A4" s="6" t="s">
        <v>6</v>
      </c>
      <c r="B4" s="1">
        <v>247</v>
      </c>
    </row>
    <row r="5" spans="1:6" x14ac:dyDescent="0.25">
      <c r="A5" s="6" t="s">
        <v>10</v>
      </c>
      <c r="B5" s="1">
        <v>201</v>
      </c>
    </row>
    <row r="6" spans="1:6" x14ac:dyDescent="0.25">
      <c r="A6" s="6" t="s">
        <v>7</v>
      </c>
      <c r="B6" s="1">
        <v>154</v>
      </c>
      <c r="E6" t="s">
        <v>49</v>
      </c>
      <c r="F6" t="s">
        <v>50</v>
      </c>
    </row>
    <row r="7" spans="1:6" hidden="1" x14ac:dyDescent="0.25">
      <c r="A7" s="6" t="s">
        <v>15</v>
      </c>
      <c r="B7" s="1">
        <v>127</v>
      </c>
      <c r="E7" s="6" t="s">
        <v>5</v>
      </c>
      <c r="F7" s="2">
        <v>98499</v>
      </c>
    </row>
    <row r="8" spans="1:6" hidden="1" x14ac:dyDescent="0.25">
      <c r="A8" s="6" t="s">
        <v>13</v>
      </c>
      <c r="B8" s="1">
        <v>111</v>
      </c>
      <c r="E8" s="6" t="s">
        <v>11</v>
      </c>
      <c r="F8" s="3">
        <v>28232</v>
      </c>
    </row>
    <row r="9" spans="1:6" hidden="1" x14ac:dyDescent="0.25">
      <c r="A9" s="6" t="s">
        <v>14</v>
      </c>
      <c r="B9" s="1">
        <v>107</v>
      </c>
      <c r="E9" s="6" t="s">
        <v>6</v>
      </c>
      <c r="F9" s="2">
        <v>16461</v>
      </c>
    </row>
    <row r="10" spans="1:6" hidden="1" x14ac:dyDescent="0.25">
      <c r="A10" s="6" t="s">
        <v>19</v>
      </c>
      <c r="B10" s="1">
        <v>92</v>
      </c>
      <c r="E10" s="6" t="s">
        <v>10</v>
      </c>
      <c r="F10" s="3">
        <v>11192</v>
      </c>
    </row>
    <row r="11" spans="1:6" hidden="1" x14ac:dyDescent="0.25">
      <c r="A11" s="6" t="s">
        <v>8</v>
      </c>
      <c r="B11" s="1">
        <v>88</v>
      </c>
      <c r="E11" s="6" t="s">
        <v>7</v>
      </c>
      <c r="F11" s="2">
        <v>10227</v>
      </c>
    </row>
    <row r="12" spans="1:6" hidden="1" x14ac:dyDescent="0.25">
      <c r="A12" s="6" t="s">
        <v>12</v>
      </c>
      <c r="B12" s="1">
        <v>82</v>
      </c>
      <c r="E12" s="6" t="s">
        <v>15</v>
      </c>
      <c r="F12" s="3">
        <v>10202</v>
      </c>
    </row>
    <row r="13" spans="1:6" hidden="1" x14ac:dyDescent="0.25">
      <c r="A13" s="6" t="s">
        <v>9</v>
      </c>
      <c r="B13" s="1">
        <v>75</v>
      </c>
      <c r="E13" s="6" t="s">
        <v>13</v>
      </c>
      <c r="F13" s="2">
        <v>7675</v>
      </c>
    </row>
    <row r="14" spans="1:6" hidden="1" x14ac:dyDescent="0.25">
      <c r="A14" s="6" t="s">
        <v>18</v>
      </c>
      <c r="B14" s="1">
        <v>64</v>
      </c>
      <c r="E14" s="6" t="s">
        <v>14</v>
      </c>
      <c r="F14" s="3">
        <v>5805</v>
      </c>
    </row>
    <row r="15" spans="1:6" hidden="1" x14ac:dyDescent="0.25">
      <c r="A15" s="6" t="s">
        <v>17</v>
      </c>
      <c r="B15" s="1">
        <v>64</v>
      </c>
      <c r="E15" s="6" t="s">
        <v>19</v>
      </c>
      <c r="F15" s="2">
        <v>5330</v>
      </c>
    </row>
    <row r="16" spans="1:6" hidden="1" x14ac:dyDescent="0.25">
      <c r="A16" s="6" t="s">
        <v>23</v>
      </c>
      <c r="B16" s="1">
        <v>58</v>
      </c>
      <c r="E16" s="6" t="s">
        <v>8</v>
      </c>
      <c r="F16" s="3">
        <v>5143</v>
      </c>
    </row>
    <row r="17" spans="1:6" hidden="1" x14ac:dyDescent="0.25">
      <c r="A17" s="6" t="s">
        <v>30</v>
      </c>
      <c r="B17" s="1">
        <v>44</v>
      </c>
      <c r="E17" s="6" t="s">
        <v>12</v>
      </c>
      <c r="F17" s="2">
        <v>4944</v>
      </c>
    </row>
    <row r="18" spans="1:6" hidden="1" x14ac:dyDescent="0.25">
      <c r="A18" s="6" t="s">
        <v>16</v>
      </c>
      <c r="B18" s="1">
        <v>44</v>
      </c>
      <c r="E18" s="6" t="s">
        <v>9</v>
      </c>
      <c r="F18" s="3">
        <v>4638</v>
      </c>
    </row>
    <row r="19" spans="1:6" hidden="1" x14ac:dyDescent="0.25">
      <c r="A19" s="6" t="s">
        <v>22</v>
      </c>
      <c r="B19" s="1">
        <v>39</v>
      </c>
      <c r="E19" s="6" t="s">
        <v>18</v>
      </c>
      <c r="F19" s="2">
        <v>4551</v>
      </c>
    </row>
    <row r="20" spans="1:6" hidden="1" x14ac:dyDescent="0.25">
      <c r="A20" s="6" t="s">
        <v>24</v>
      </c>
      <c r="B20" s="1">
        <v>37</v>
      </c>
      <c r="E20" s="6" t="s">
        <v>17</v>
      </c>
      <c r="F20" s="3">
        <v>3287</v>
      </c>
    </row>
    <row r="21" spans="1:6" hidden="1" x14ac:dyDescent="0.25">
      <c r="A21" s="6" t="s">
        <v>25</v>
      </c>
      <c r="B21" s="1">
        <v>34</v>
      </c>
      <c r="E21" s="6" t="s">
        <v>23</v>
      </c>
      <c r="F21" s="2">
        <v>3283</v>
      </c>
    </row>
    <row r="22" spans="1:6" hidden="1" x14ac:dyDescent="0.25">
      <c r="A22" s="6" t="s">
        <v>31</v>
      </c>
      <c r="B22" s="1">
        <v>34</v>
      </c>
      <c r="E22" s="6" t="s">
        <v>30</v>
      </c>
      <c r="F22" s="3">
        <v>2952</v>
      </c>
    </row>
    <row r="23" spans="1:6" hidden="1" x14ac:dyDescent="0.25">
      <c r="A23" s="6" t="s">
        <v>33</v>
      </c>
      <c r="B23" s="1">
        <v>32</v>
      </c>
      <c r="E23" s="6" t="s">
        <v>16</v>
      </c>
      <c r="F23" s="2">
        <v>2825</v>
      </c>
    </row>
    <row r="24" spans="1:6" hidden="1" x14ac:dyDescent="0.25">
      <c r="A24" s="6" t="s">
        <v>27</v>
      </c>
      <c r="B24" s="1">
        <v>32</v>
      </c>
      <c r="E24" s="6" t="s">
        <v>22</v>
      </c>
      <c r="F24" s="3">
        <v>2706</v>
      </c>
    </row>
    <row r="25" spans="1:6" hidden="1" x14ac:dyDescent="0.25">
      <c r="A25" s="6" t="s">
        <v>20</v>
      </c>
      <c r="B25" s="1">
        <v>29</v>
      </c>
      <c r="E25" s="6" t="s">
        <v>24</v>
      </c>
      <c r="F25" s="2">
        <v>2447</v>
      </c>
    </row>
    <row r="26" spans="1:6" hidden="1" x14ac:dyDescent="0.25">
      <c r="A26" s="6" t="s">
        <v>35</v>
      </c>
      <c r="B26" s="1">
        <v>28</v>
      </c>
      <c r="E26" s="6" t="s">
        <v>25</v>
      </c>
      <c r="F26" s="3">
        <v>2399</v>
      </c>
    </row>
    <row r="27" spans="1:6" hidden="1" x14ac:dyDescent="0.25">
      <c r="A27" s="6" t="s">
        <v>32</v>
      </c>
      <c r="B27" s="1">
        <v>28</v>
      </c>
      <c r="E27" s="6" t="s">
        <v>31</v>
      </c>
      <c r="F27" s="2">
        <v>2152</v>
      </c>
    </row>
    <row r="28" spans="1:6" hidden="1" x14ac:dyDescent="0.25">
      <c r="A28" s="6" t="s">
        <v>28</v>
      </c>
      <c r="B28" s="1">
        <v>28</v>
      </c>
      <c r="E28" s="6" t="s">
        <v>33</v>
      </c>
      <c r="F28" s="3">
        <v>2129</v>
      </c>
    </row>
    <row r="29" spans="1:6" hidden="1" x14ac:dyDescent="0.25">
      <c r="A29" s="6" t="s">
        <v>26</v>
      </c>
      <c r="B29" s="1">
        <v>25</v>
      </c>
      <c r="E29" s="6" t="s">
        <v>27</v>
      </c>
      <c r="F29" s="2">
        <v>2064</v>
      </c>
    </row>
    <row r="30" spans="1:6" hidden="1" x14ac:dyDescent="0.25">
      <c r="A30" s="6" t="s">
        <v>36</v>
      </c>
      <c r="B30" s="1">
        <v>25</v>
      </c>
      <c r="E30" s="6" t="s">
        <v>20</v>
      </c>
      <c r="F30" s="3">
        <v>1979</v>
      </c>
    </row>
    <row r="31" spans="1:6" hidden="1" x14ac:dyDescent="0.25">
      <c r="A31" s="6" t="s">
        <v>29</v>
      </c>
      <c r="B31" s="1">
        <v>24</v>
      </c>
      <c r="E31" s="6" t="s">
        <v>35</v>
      </c>
      <c r="F31" s="2">
        <v>1939</v>
      </c>
    </row>
    <row r="32" spans="1:6" x14ac:dyDescent="0.25">
      <c r="A32" s="6" t="s">
        <v>34</v>
      </c>
      <c r="B32" s="1">
        <v>20</v>
      </c>
      <c r="E32" s="6" t="s">
        <v>32</v>
      </c>
      <c r="F32" s="3">
        <v>1629</v>
      </c>
    </row>
    <row r="33" spans="1:6" hidden="1" x14ac:dyDescent="0.25">
      <c r="A33" s="6" t="s">
        <v>21</v>
      </c>
      <c r="B33" s="1">
        <v>19</v>
      </c>
      <c r="E33" s="6" t="s">
        <v>28</v>
      </c>
      <c r="F33" s="2">
        <v>1469</v>
      </c>
    </row>
    <row r="34" spans="1:6" hidden="1" x14ac:dyDescent="0.25">
      <c r="A34" s="6" t="s">
        <v>37</v>
      </c>
      <c r="B34" s="1">
        <v>18</v>
      </c>
      <c r="E34" s="6" t="s">
        <v>26</v>
      </c>
      <c r="F34" s="3">
        <v>1308</v>
      </c>
    </row>
    <row r="35" spans="1:6" hidden="1" x14ac:dyDescent="0.25">
      <c r="A35" s="6" t="s">
        <v>39</v>
      </c>
      <c r="B35" s="1">
        <v>16</v>
      </c>
      <c r="E35" s="6" t="s">
        <v>36</v>
      </c>
      <c r="F35" s="2">
        <v>1203</v>
      </c>
    </row>
    <row r="36" spans="1:6" hidden="1" x14ac:dyDescent="0.25">
      <c r="A36" s="6" t="s">
        <v>38</v>
      </c>
      <c r="B36" s="1">
        <v>9</v>
      </c>
      <c r="E36" s="6" t="s">
        <v>29</v>
      </c>
      <c r="F36" s="3">
        <v>1144</v>
      </c>
    </row>
    <row r="37" spans="1:6" hidden="1" x14ac:dyDescent="0.25">
      <c r="A37" s="6" t="s">
        <v>40</v>
      </c>
      <c r="B37" s="1">
        <v>9</v>
      </c>
      <c r="E37" s="6" t="s">
        <v>34</v>
      </c>
      <c r="F37" s="2">
        <v>817</v>
      </c>
    </row>
    <row r="38" spans="1:6" hidden="1" x14ac:dyDescent="0.25">
      <c r="A38" s="6" t="s">
        <v>41</v>
      </c>
      <c r="B38" s="1">
        <v>2</v>
      </c>
      <c r="E38" s="6" t="s">
        <v>21</v>
      </c>
      <c r="F38" s="3">
        <v>785</v>
      </c>
    </row>
    <row r="39" spans="1:6" hidden="1" x14ac:dyDescent="0.25">
      <c r="A39" s="6" t="s">
        <v>48</v>
      </c>
      <c r="B39" s="1">
        <v>3136</v>
      </c>
      <c r="E39" s="6" t="s">
        <v>37</v>
      </c>
      <c r="F39" s="2">
        <v>665</v>
      </c>
    </row>
    <row r="40" spans="1:6" hidden="1" x14ac:dyDescent="0.25">
      <c r="E40" s="6" t="s">
        <v>39</v>
      </c>
      <c r="F40" s="3">
        <v>564</v>
      </c>
    </row>
    <row r="41" spans="1:6" hidden="1" x14ac:dyDescent="0.25">
      <c r="E41" s="6" t="s">
        <v>38</v>
      </c>
      <c r="F41" s="2">
        <v>480</v>
      </c>
    </row>
    <row r="42" spans="1:6" hidden="1" x14ac:dyDescent="0.25">
      <c r="E42" s="6" t="s">
        <v>40</v>
      </c>
      <c r="F42" s="3">
        <v>375</v>
      </c>
    </row>
    <row r="43" spans="1:6" hidden="1" x14ac:dyDescent="0.25">
      <c r="E43" s="6" t="s">
        <v>41</v>
      </c>
      <c r="F43" s="2">
        <v>5</v>
      </c>
    </row>
  </sheetData>
  <conditionalFormatting sqref="A1:B1 A2:A39">
    <cfRule type="dataBar" priority="4">
      <dataBar>
        <cfvo type="min"/>
        <cfvo type="max"/>
        <color rgb="FFFF555A"/>
      </dataBar>
      <extLst>
        <ext xmlns:x14="http://schemas.microsoft.com/office/spreadsheetml/2009/9/main" uri="{B025F937-C7B1-47D3-B67F-A62EFF666E3E}">
          <x14:id>{40F80B39-3A68-4DE1-A053-009224E2FE49}</x14:id>
        </ext>
      </extLst>
    </cfRule>
  </conditionalFormatting>
  <conditionalFormatting sqref="A1:B39">
    <cfRule type="dataBar" priority="3">
      <dataBar>
        <cfvo type="min"/>
        <cfvo type="max"/>
        <color rgb="FFFF555A"/>
      </dataBar>
      <extLst>
        <ext xmlns:x14="http://schemas.microsoft.com/office/spreadsheetml/2009/9/main" uri="{B025F937-C7B1-47D3-B67F-A62EFF666E3E}">
          <x14:id>{D481D949-FDC4-4D75-9E71-E7971C17ABA5}</x14:id>
        </ext>
      </extLst>
    </cfRule>
  </conditionalFormatting>
  <conditionalFormatting sqref="E7:E43">
    <cfRule type="dataBar" priority="2">
      <dataBar>
        <cfvo type="min"/>
        <cfvo type="max"/>
        <color rgb="FFFF555A"/>
      </dataBar>
      <extLst>
        <ext xmlns:x14="http://schemas.microsoft.com/office/spreadsheetml/2009/9/main" uri="{B025F937-C7B1-47D3-B67F-A62EFF666E3E}">
          <x14:id>{E9C196E9-DA9C-48FA-B057-12A266ADB714}</x14:id>
        </ext>
      </extLst>
    </cfRule>
  </conditionalFormatting>
  <conditionalFormatting sqref="E7:E43">
    <cfRule type="dataBar" priority="1">
      <dataBar>
        <cfvo type="min"/>
        <cfvo type="max"/>
        <color rgb="FFFF555A"/>
      </dataBar>
      <extLst>
        <ext xmlns:x14="http://schemas.microsoft.com/office/spreadsheetml/2009/9/main" uri="{B025F937-C7B1-47D3-B67F-A62EFF666E3E}">
          <x14:id>{DAAFD081-5799-4ADF-828A-479258E50CE6}</x14:id>
        </ext>
      </extLst>
    </cfRule>
  </conditionalFormatting>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0F80B39-3A68-4DE1-A053-009224E2FE49}">
            <x14:dataBar minLength="0" maxLength="100" gradient="0">
              <x14:cfvo type="autoMin"/>
              <x14:cfvo type="autoMax"/>
              <x14:negativeFillColor rgb="FFFF0000"/>
              <x14:axisColor rgb="FF000000"/>
            </x14:dataBar>
          </x14:cfRule>
          <xm:sqref>A1:B1 A2:A39</xm:sqref>
        </x14:conditionalFormatting>
        <x14:conditionalFormatting xmlns:xm="http://schemas.microsoft.com/office/excel/2006/main">
          <x14:cfRule type="dataBar" id="{D481D949-FDC4-4D75-9E71-E7971C17ABA5}">
            <x14:dataBar minLength="0" maxLength="100" gradient="0">
              <x14:cfvo type="autoMin"/>
              <x14:cfvo type="autoMax"/>
              <x14:negativeFillColor rgb="FFFF0000"/>
              <x14:axisColor rgb="FF000000"/>
            </x14:dataBar>
          </x14:cfRule>
          <xm:sqref>A1:B39</xm:sqref>
        </x14:conditionalFormatting>
        <x14:conditionalFormatting xmlns:xm="http://schemas.microsoft.com/office/excel/2006/main">
          <x14:cfRule type="dataBar" id="{E9C196E9-DA9C-48FA-B057-12A266ADB714}">
            <x14:dataBar minLength="0" maxLength="100" gradient="0">
              <x14:cfvo type="autoMin"/>
              <x14:cfvo type="autoMax"/>
              <x14:negativeFillColor rgb="FFFF0000"/>
              <x14:axisColor rgb="FF000000"/>
            </x14:dataBar>
          </x14:cfRule>
          <xm:sqref>E7:E43</xm:sqref>
        </x14:conditionalFormatting>
        <x14:conditionalFormatting xmlns:xm="http://schemas.microsoft.com/office/excel/2006/main">
          <x14:cfRule type="dataBar" id="{DAAFD081-5799-4ADF-828A-479258E50CE6}">
            <x14:dataBar minLength="0" maxLength="100" gradient="0">
              <x14:cfvo type="autoMin"/>
              <x14:cfvo type="autoMax"/>
              <x14:negativeFillColor rgb="FFFF0000"/>
              <x14:axisColor rgb="FF000000"/>
            </x14:dataBar>
          </x14:cfRule>
          <xm:sqref>E7:E43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532CC-EB52-46A2-BB34-FDA4303BC15E}">
  <dimension ref="A1"/>
  <sheetViews>
    <sheetView showGridLines="0" tabSelected="1" zoomScale="151" zoomScaleNormal="151" workbookViewId="0">
      <selection activeCell="T14" sqref="S14:T14"/>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CD1556-6339-413C-8E60-58D34C774E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CovidCase</vt:lpstr>
      <vt:lpstr>Case1</vt:lpstr>
      <vt:lpstr>Case2</vt:lpstr>
      <vt:lpstr>Case3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IFDC</dc:creator>
  <cp:lastModifiedBy>IFDC</cp:lastModifiedBy>
  <dcterms:created xsi:type="dcterms:W3CDTF">2022-02-04T22:31:54Z</dcterms:created>
  <dcterms:modified xsi:type="dcterms:W3CDTF">2022-02-04T23:15:58Z</dcterms:modified>
</cp:coreProperties>
</file>